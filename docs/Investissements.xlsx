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evolve11com-my.sharepoint.com/personal/thomas_thiry_evolve11_com/Documents/Documents/Banques/"/>
    </mc:Choice>
  </mc:AlternateContent>
  <xr:revisionPtr revIDLastSave="245" documentId="11_F25DC773A252ABDACC104877E15E6F3E5BDE58E5" xr6:coauthVersionLast="47" xr6:coauthVersionMax="47" xr10:uidLastSave="{46249D49-235E-4D2C-96D3-B538041CA36A}"/>
  <bookViews>
    <workbookView xWindow="-120" yWindow="-120" windowWidth="29040" windowHeight="15720" xr2:uid="{00000000-000D-0000-FFFF-FFFF00000000}"/>
  </bookViews>
  <sheets>
    <sheet name="Tradi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1" l="1"/>
  <c r="L6" i="1" s="1"/>
  <c r="M6" i="1" s="1"/>
  <c r="R6" i="1"/>
  <c r="U6" i="1" s="1"/>
  <c r="I4" i="1"/>
  <c r="R4" i="1"/>
  <c r="U4" i="1" s="1"/>
  <c r="R3" i="1"/>
  <c r="U3" i="1" s="1"/>
  <c r="I3" i="1"/>
  <c r="R2" i="1"/>
  <c r="U2" i="1" s="1"/>
  <c r="R5" i="1"/>
  <c r="U5" i="1" s="1"/>
  <c r="I2" i="1"/>
  <c r="L2" i="1" s="1"/>
  <c r="M2" i="1" s="1"/>
  <c r="I5" i="1"/>
  <c r="L5" i="1" s="1"/>
  <c r="S6" i="1" l="1"/>
  <c r="V6" i="1" s="1"/>
  <c r="W6" i="1" s="1"/>
  <c r="M5" i="1"/>
  <c r="L3" i="1"/>
  <c r="M3" i="1" s="1"/>
  <c r="L4" i="1"/>
  <c r="M4" i="1" s="1"/>
  <c r="S4" i="1"/>
  <c r="V4" i="1" s="1"/>
  <c r="S5" i="1"/>
  <c r="V5" i="1" s="1"/>
  <c r="W5" i="1" s="1"/>
  <c r="S3" i="1"/>
  <c r="S2" i="1"/>
  <c r="V2" i="1" s="1"/>
  <c r="W4" i="1" l="1"/>
  <c r="V3" i="1"/>
  <c r="W3" i="1" s="1"/>
  <c r="W2" i="1"/>
</calcChain>
</file>

<file path=xl/sharedStrings.xml><?xml version="1.0" encoding="utf-8"?>
<sst xmlns="http://schemas.openxmlformats.org/spreadsheetml/2006/main" count="60" uniqueCount="46">
  <si>
    <t>Type</t>
  </si>
  <si>
    <t>ISIN</t>
  </si>
  <si>
    <t>Date achat</t>
  </si>
  <si>
    <t>Valeur à l'achat</t>
  </si>
  <si>
    <t>Montant achat</t>
  </si>
  <si>
    <t>Quantité achat</t>
  </si>
  <si>
    <t>Action</t>
  </si>
  <si>
    <t>Nom</t>
  </si>
  <si>
    <t>Broker</t>
  </si>
  <si>
    <t>Keytrade</t>
  </si>
  <si>
    <t>Droits de garde</t>
  </si>
  <si>
    <t>Tax plus-value</t>
  </si>
  <si>
    <t>Date vente</t>
  </si>
  <si>
    <t>Valeur à la vente</t>
  </si>
  <si>
    <t>Quantité vendue</t>
  </si>
  <si>
    <t>Montant vente</t>
  </si>
  <si>
    <t>TOB vente</t>
  </si>
  <si>
    <t>TOB achat</t>
  </si>
  <si>
    <t>Plus-value nette</t>
  </si>
  <si>
    <t>Plus-value brute</t>
  </si>
  <si>
    <t>Frais transaction achat</t>
  </si>
  <si>
    <t>Frais transaction vente</t>
  </si>
  <si>
    <t>IE000BI8OT95</t>
  </si>
  <si>
    <t>Amundi Core MSCI World UCITS ETF Acc</t>
  </si>
  <si>
    <t>BE0003874915</t>
  </si>
  <si>
    <t>Fagron</t>
  </si>
  <si>
    <t>Coût total achat</t>
  </si>
  <si>
    <t>EVS</t>
  </si>
  <si>
    <t>ETF</t>
  </si>
  <si>
    <t>BE0003820371</t>
  </si>
  <si>
    <t>Revolut</t>
  </si>
  <si>
    <t>US5949181045</t>
  </si>
  <si>
    <t>Microsoft</t>
  </si>
  <si>
    <t>EUR</t>
  </si>
  <si>
    <t>USD</t>
  </si>
  <si>
    <t>Devise</t>
  </si>
  <si>
    <t>Recommandation à l'achat</t>
  </si>
  <si>
    <t>L’action a longtemps sous-performé, en raison des craintes liées à l’IA parmi les valeurs technologiques, mais elle s’est redressée en mars. Microsoft dispose d’une position de marché extrêmement solide et de flux de revenus relativement prévisibles et diversifiés dans des marchés en croissance. Malgré les investissements importants, le bilan reste sain. La valorisation, d’environ 25 fois le bénéfice, est raisonnable. L’action mérite d’être achetée.</t>
  </si>
  <si>
    <t>Conseil</t>
  </si>
  <si>
    <t>Risque</t>
  </si>
  <si>
    <t>Acheter</t>
  </si>
  <si>
    <t>Faible</t>
  </si>
  <si>
    <t>Le début d’année aurait pu être meilleur pour EVS, et le départ annoncé de Veerle De Wit en juillet 2026 fait tache. Les grands événements sportifs de l’année sauvent néanmoins les meubles, avec des chiffres record pour l’activité des camions d’enregistrement. Les autres métiers progressent plus lentement, freinés par l’incertitude géopolitique et économique. La valorisation reste en tout cas modeste, à 11 fois le bénéfice attendu. Le groupe affiche aussi une situation financière saine et un rendement du dividende de 3,6%. Vous pouvez encore acheter les actions.</t>
  </si>
  <si>
    <t>Modéré</t>
  </si>
  <si>
    <t>Fagron est actuellement l’un de nos favoris, en raison de belles perspectives de croissance pour les prochaines années et d’une valorisation attrayante en tant que leader du marché. Les attentes de marge un peu plus faibles sont temporaires et le consensus de marché en tient déjà compte. Nous maintenons donc notre recommandation d’achat.</t>
  </si>
  <si>
    <t>1 € = 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</si>
</sst>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2]\ * #,##0.00_-;\-[$€-2]\ * #,##0.00_-;_-[$€-2]\ * &quot;-&quot;??_-;_-@_-"/>
    <numFmt numFmtId="169" formatCode="_-[$$-409]* #,##0.00_ ;_-[$$-409]* \-#,##0.00\ ;_-[$$-409]* &quot;-&quot;??_ ;_-@_ "/>
    <numFmt numFmtId="172" formatCode="0.0000"/>
  </numFmts>
  <fonts count="4" x14ac:knownFonts="1">
    <font>
      <sz val="11"/>
      <color theme="1"/>
      <name val="Calibri"/>
      <family val="2"/>
      <scheme val="minor"/>
    </font>
    <font>
      <sz val="11"/>
      <color theme="1"/>
      <name val="Calibri"/>
      <family val="2"/>
      <scheme val="minor"/>
    </font>
    <font>
      <sz val="11"/>
      <color theme="0" tint="-0.499984740745262"/>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64" fontId="0" fillId="0" borderId="0" xfId="0" applyNumberFormat="1"/>
    <xf numFmtId="0" fontId="2" fillId="0" borderId="0" xfId="0" applyFont="1"/>
    <xf numFmtId="164" fontId="2" fillId="0" borderId="0" xfId="0" applyNumberFormat="1" applyFont="1"/>
    <xf numFmtId="164" fontId="0" fillId="0" borderId="0" xfId="1" applyNumberFormat="1" applyFont="1"/>
    <xf numFmtId="14" fontId="0" fillId="0" borderId="0" xfId="0" applyNumberFormat="1"/>
    <xf numFmtId="0" fontId="3" fillId="0" borderId="0" xfId="0" applyFont="1"/>
    <xf numFmtId="164" fontId="3" fillId="0" borderId="0" xfId="0" applyNumberFormat="1" applyFont="1"/>
    <xf numFmtId="164" fontId="3" fillId="0" borderId="0" xfId="1" applyNumberFormat="1" applyFont="1"/>
    <xf numFmtId="14" fontId="3" fillId="0" borderId="0" xfId="0" applyNumberFormat="1" applyFont="1"/>
    <xf numFmtId="169" fontId="0" fillId="0" borderId="0" xfId="0" applyNumberFormat="1"/>
    <xf numFmtId="169" fontId="0" fillId="0" borderId="0" xfId="1" applyNumberFormat="1" applyFont="1"/>
    <xf numFmtId="2" fontId="0" fillId="0" borderId="0" xfId="0" applyNumberFormat="1"/>
    <xf numFmtId="2" fontId="3" fillId="0" borderId="0" xfId="0" applyNumberFormat="1" applyFont="1"/>
    <xf numFmtId="172" fontId="0" fillId="0" borderId="0" xfId="0" applyNumberFormat="1"/>
  </cellXfs>
  <cellStyles count="2">
    <cellStyle name="Normal" xfId="0" builtinId="0"/>
    <cellStyle name="Percent" xfId="1" builtinId="5"/>
  </cellStyles>
  <dxfs count="19">
    <dxf>
      <numFmt numFmtId="2" formatCode="0.00"/>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2" formatCode="0.00"/>
    </dxf>
    <dxf>
      <numFmt numFmtId="164" formatCode="_-[$€-2]\ * #,##0.00_-;\-[$€-2]\ * #,##0.00_-;_-[$€-2]\ * &quot;-&quot;??_-;_-@_-"/>
    </dxf>
    <dxf>
      <numFmt numFmtId="164" formatCode="_-[$€-2]\ * #,##0.00_-;\-[$€-2]\ * #,##0.00_-;_-[$€-2]\ * &quot;-&quot;??_-;_-@_-"/>
    </dxf>
    <dxf>
      <numFmt numFmtId="2" formatCode="0.00"/>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numFmt numFmtId="164" formatCode="_-[$€-2]\ * #,##0.00_-;\-[$€-2]\ * #,##0.00_-;_-[$€-2]\ * &quot;-&quot;??_-;_-@_-"/>
    </dxf>
    <dxf>
      <font>
        <b val="0"/>
        <i val="0"/>
        <strike val="0"/>
        <condense val="0"/>
        <extend val="0"/>
        <outline val="0"/>
        <shadow val="0"/>
        <u val="none"/>
        <vertAlign val="baseline"/>
        <sz val="11"/>
        <color theme="0" tint="-0.499984740745262"/>
        <name val="Calibri"/>
        <family val="2"/>
        <scheme val="minor"/>
      </font>
      <numFmt numFmtId="164" formatCode="_-[$€-2]\ * #,##0.00_-;\-[$€-2]\ * #,##0.00_-;_-[$€-2]\ * &quot;-&quot;??_-;_-@_-"/>
    </dxf>
    <dxf>
      <numFmt numFmtId="164" formatCode="_-[$€-2]\ * #,##0.00_-;\-[$€-2]\ * #,##0.00_-;_-[$€-2]\ *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71FE53-7D5B-4902-9015-E06D06F9182A}" name="Table1" displayName="Table1" ref="A1:Z6" totalsRowShown="0">
  <autoFilter ref="A1:Z6" xr:uid="{DC71FE53-7D5B-4902-9015-E06D06F9182A}"/>
  <tableColumns count="26">
    <tableColumn id="1" xr3:uid="{EC5387CD-9D4B-43CB-8BA1-6CF8568526C1}" name="Broker"/>
    <tableColumn id="2" xr3:uid="{82949055-0EA9-47E1-BDCD-09CD3083D462}" name="Type"/>
    <tableColumn id="3" xr3:uid="{7A2121EE-24EF-4633-8897-41B4085F0415}" name="ISIN"/>
    <tableColumn id="21" xr3:uid="{AE2F9A78-F2CF-4B76-9270-AAF2A959FC7A}" name="Devise"/>
    <tableColumn id="4" xr3:uid="{5D2A7A69-587B-4E0C-B5A8-DC082394ABB8}" name="Nom"/>
    <tableColumn id="5" xr3:uid="{14A7C0A8-948F-4AE1-A088-500421079DAD}" name="Date achat"/>
    <tableColumn id="6" xr3:uid="{3DCAC395-54A7-4A0E-BE24-2D52FF1B1E20}" name="Valeur à l'achat" dataDxfId="10"/>
    <tableColumn id="7" xr3:uid="{091F16F0-B4D4-4B2D-A415-EC743AC97153}" name="Quantité achat" dataDxfId="9"/>
    <tableColumn id="8" xr3:uid="{94597A9A-AE01-45A2-882F-EA2F3D6C9360}" name="Montant achat" dataDxfId="2">
      <calculatedColumnFormula>G2*H2</calculatedColumnFormula>
    </tableColumn>
    <tableColumn id="26" xr3:uid="{9882DCC0-FE31-432B-B10B-FF234C3F9D1C}" name="1 € = x $" dataDxfId="0"/>
    <tableColumn id="9" xr3:uid="{CEE9A58A-D0C7-4789-BDEE-8EC8D0C4FF48}" name="Frais transaction achat" dataDxfId="1"/>
    <tableColumn id="10" xr3:uid="{3A4C3F2C-4450-4749-8F62-CA146772B9D0}" name="TOB achat" dataDxfId="18">
      <calculatedColumnFormula>I2*0.0012</calculatedColumnFormula>
    </tableColumn>
    <tableColumn id="22" xr3:uid="{651E7D35-61E8-4174-8CDF-69C721B3B86C}" name="Coût total achat" dataDxfId="17" dataCellStyle="Percent"/>
    <tableColumn id="11" xr3:uid="{0D4A33D7-6FEE-495D-A2A1-17F325956751}" name="Droits de garde" dataDxfId="16"/>
    <tableColumn id="12" xr3:uid="{2D929F47-CAC4-4AAA-A8B4-85AEFFCE5B4B}" name="Date vente"/>
    <tableColumn id="13" xr3:uid="{42083700-5485-4408-9B7E-BD53457DA447}" name="Valeur à la vente" dataDxfId="8"/>
    <tableColumn id="14" xr3:uid="{3D43C740-06DD-4785-9875-4965C36D2982}" name="Quantité vendue" dataDxfId="6"/>
    <tableColumn id="15" xr3:uid="{EF85251D-E6D6-458B-B88A-7927E6F46218}" name="Montant vente" dataDxfId="7">
      <calculatedColumnFormula>P2*Q2</calculatedColumnFormula>
    </tableColumn>
    <tableColumn id="18" xr3:uid="{B8599ED0-C43F-476D-974A-EB55B21F9848}" name="Plus-value brute" dataDxfId="15">
      <calculatedColumnFormula>R2-I2</calculatedColumnFormula>
    </tableColumn>
    <tableColumn id="16" xr3:uid="{7E29C2C1-3790-417A-8771-3D0AC5643F95}" name="Frais transaction vente" dataDxfId="14"/>
    <tableColumn id="17" xr3:uid="{3337F370-F9C7-4C6D-9473-DFBDB5AFBB4A}" name="TOB vente" dataDxfId="13">
      <calculatedColumnFormula>R2*0.0035</calculatedColumnFormula>
    </tableColumn>
    <tableColumn id="19" xr3:uid="{C141A695-8016-49EA-9514-A5F3737638BE}" name="Tax plus-value" dataDxfId="12">
      <calculatedColumnFormula>S2*0.1</calculatedColumnFormula>
    </tableColumn>
    <tableColumn id="20" xr3:uid="{2C202FEC-0B11-4025-941E-423B946CFC34}" name="Plus-value nette" dataDxfId="11">
      <calculatedColumnFormula>S2-K2-L2-N2-T2-U2-V2</calculatedColumnFormula>
    </tableColumn>
    <tableColumn id="23" xr3:uid="{59FB660D-0C4A-4C00-A651-558A2B98AF99}" name="Recommandation à l'achat" dataDxfId="5"/>
    <tableColumn id="24" xr3:uid="{F277FBAD-377C-4DEA-B717-A2C2EFDDAD20}" name="Conseil" dataDxfId="4"/>
    <tableColumn id="25" xr3:uid="{26D96545-CFBF-4F4E-BC8A-DB05708DFB25}" name="Risque" dataDxfId="3"/>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
  <sheetViews>
    <sheetView tabSelected="1" workbookViewId="0">
      <selection activeCell="J6" sqref="J6"/>
    </sheetView>
  </sheetViews>
  <sheetFormatPr defaultRowHeight="15" x14ac:dyDescent="0.25"/>
  <cols>
    <col min="3" max="3" width="13.28515625" bestFit="1" customWidth="1"/>
    <col min="4" max="4" width="9.28515625" bestFit="1" customWidth="1"/>
    <col min="5" max="5" width="36.42578125" bestFit="1" customWidth="1"/>
    <col min="6" max="6" width="12.42578125" customWidth="1"/>
    <col min="7" max="7" width="16.5703125" customWidth="1"/>
    <col min="8" max="8" width="16.140625" customWidth="1"/>
    <col min="9" max="9" width="15.85546875" customWidth="1"/>
    <col min="10" max="10" width="10" bestFit="1" customWidth="1"/>
    <col min="11" max="11" width="22.7109375" customWidth="1"/>
    <col min="12" max="12" width="11.85546875" customWidth="1"/>
    <col min="13" max="13" width="20.28515625" customWidth="1"/>
    <col min="14" max="14" width="16.5703125" customWidth="1"/>
    <col min="15" max="15" width="12.85546875" customWidth="1"/>
    <col min="16" max="16" width="18" customWidth="1"/>
    <col min="17" max="17" width="18.140625" customWidth="1"/>
    <col min="18" max="18" width="16.28515625" customWidth="1"/>
    <col min="19" max="19" width="23.140625" customWidth="1"/>
    <col min="20" max="20" width="23.7109375" bestFit="1" customWidth="1"/>
    <col min="21" max="21" width="17.7109375" customWidth="1"/>
    <col min="22" max="22" width="15.85546875" customWidth="1"/>
    <col min="23" max="23" width="17.7109375" customWidth="1"/>
    <col min="24" max="24" width="27" bestFit="1" customWidth="1"/>
  </cols>
  <sheetData>
    <row r="1" spans="1:26" x14ac:dyDescent="0.25">
      <c r="A1" t="s">
        <v>8</v>
      </c>
      <c r="B1" t="s">
        <v>0</v>
      </c>
      <c r="C1" t="s">
        <v>1</v>
      </c>
      <c r="D1" t="s">
        <v>35</v>
      </c>
      <c r="E1" t="s">
        <v>7</v>
      </c>
      <c r="F1" t="s">
        <v>2</v>
      </c>
      <c r="G1" t="s">
        <v>3</v>
      </c>
      <c r="H1" t="s">
        <v>5</v>
      </c>
      <c r="I1" t="s">
        <v>4</v>
      </c>
      <c r="J1" t="s">
        <v>45</v>
      </c>
      <c r="K1" t="s">
        <v>20</v>
      </c>
      <c r="L1" t="s">
        <v>17</v>
      </c>
      <c r="M1" t="s">
        <v>26</v>
      </c>
      <c r="N1" t="s">
        <v>10</v>
      </c>
      <c r="O1" t="s">
        <v>12</v>
      </c>
      <c r="P1" t="s">
        <v>13</v>
      </c>
      <c r="Q1" t="s">
        <v>14</v>
      </c>
      <c r="R1" t="s">
        <v>15</v>
      </c>
      <c r="S1" t="s">
        <v>19</v>
      </c>
      <c r="T1" t="s">
        <v>21</v>
      </c>
      <c r="U1" t="s">
        <v>16</v>
      </c>
      <c r="V1" t="s">
        <v>11</v>
      </c>
      <c r="W1" t="s">
        <v>18</v>
      </c>
      <c r="X1" t="s">
        <v>36</v>
      </c>
      <c r="Y1" t="s">
        <v>38</v>
      </c>
      <c r="Z1" t="s">
        <v>39</v>
      </c>
    </row>
    <row r="2" spans="1:26" x14ac:dyDescent="0.25">
      <c r="A2" t="s">
        <v>9</v>
      </c>
      <c r="B2" t="s">
        <v>28</v>
      </c>
      <c r="C2" t="s">
        <v>22</v>
      </c>
      <c r="D2" t="s">
        <v>33</v>
      </c>
      <c r="E2" t="s">
        <v>23</v>
      </c>
      <c r="F2" s="5">
        <v>46337</v>
      </c>
      <c r="G2" s="1">
        <v>139.09</v>
      </c>
      <c r="H2" s="12">
        <v>1</v>
      </c>
      <c r="I2" s="1">
        <f t="shared" ref="I2" si="0">G2*H2</f>
        <v>139.09</v>
      </c>
      <c r="J2" s="12"/>
      <c r="K2" s="1">
        <v>2.4500000000000002</v>
      </c>
      <c r="L2" s="1">
        <f t="shared" ref="L2:L3" si="1">I2*0.0012</f>
        <v>0.166908</v>
      </c>
      <c r="M2" s="4">
        <f>Table1[[#This Row],[Montant achat]]+Table1[[#This Row],[Frais transaction achat]]+Table1[[#This Row],[TOB achat]]</f>
        <v>141.706908</v>
      </c>
      <c r="N2" s="1">
        <v>0</v>
      </c>
      <c r="P2" s="1">
        <v>155</v>
      </c>
      <c r="Q2" s="12">
        <v>1</v>
      </c>
      <c r="R2" s="1">
        <f t="shared" ref="R2" si="2">P2*Q2</f>
        <v>155</v>
      </c>
      <c r="S2" s="1">
        <f>R2-I2</f>
        <v>15.909999999999997</v>
      </c>
      <c r="T2" s="1">
        <v>0</v>
      </c>
      <c r="U2" s="1">
        <f t="shared" ref="U2:U4" si="3">R2*0.0035</f>
        <v>0.54249999999999998</v>
      </c>
      <c r="V2" s="1">
        <f t="shared" ref="V2:V4" si="4">S2*0.1</f>
        <v>1.5909999999999997</v>
      </c>
      <c r="W2" s="1">
        <f t="shared" ref="W2:W4" si="5">S2-K2-L2-N2-T2-U2-V2</f>
        <v>11.159591999999998</v>
      </c>
      <c r="X2" s="1"/>
      <c r="Y2" s="1"/>
      <c r="Z2" s="1"/>
    </row>
    <row r="3" spans="1:26" x14ac:dyDescent="0.25">
      <c r="A3" t="s">
        <v>9</v>
      </c>
      <c r="B3" t="s">
        <v>28</v>
      </c>
      <c r="C3" t="s">
        <v>22</v>
      </c>
      <c r="D3" t="s">
        <v>33</v>
      </c>
      <c r="E3" t="s">
        <v>23</v>
      </c>
      <c r="F3" s="5">
        <v>46161</v>
      </c>
      <c r="G3" s="1">
        <v>151.375</v>
      </c>
      <c r="H3" s="12">
        <v>33</v>
      </c>
      <c r="I3" s="1">
        <f t="shared" ref="I3" si="6">G3*H3</f>
        <v>4995.375</v>
      </c>
      <c r="J3" s="12"/>
      <c r="K3" s="1">
        <v>14.95</v>
      </c>
      <c r="L3" s="1">
        <f t="shared" si="1"/>
        <v>5.9944499999999996</v>
      </c>
      <c r="M3" s="4">
        <f>Table1[[#This Row],[Montant achat]]+Table1[[#This Row],[Frais transaction achat]]+Table1[[#This Row],[TOB achat]]</f>
        <v>5016.31945</v>
      </c>
      <c r="N3" s="1">
        <v>0</v>
      </c>
      <c r="P3" s="1">
        <v>155</v>
      </c>
      <c r="Q3" s="12">
        <v>33</v>
      </c>
      <c r="R3" s="1">
        <f t="shared" ref="R3" si="7">P3*Q3</f>
        <v>5115</v>
      </c>
      <c r="S3" s="1">
        <f>R3-I3</f>
        <v>119.625</v>
      </c>
      <c r="T3" s="1">
        <v>0</v>
      </c>
      <c r="U3" s="1">
        <f t="shared" si="3"/>
        <v>17.9025</v>
      </c>
      <c r="V3" s="1">
        <f t="shared" si="4"/>
        <v>11.9625</v>
      </c>
      <c r="W3" s="1">
        <f t="shared" si="5"/>
        <v>68.815549999999988</v>
      </c>
      <c r="X3" s="1"/>
      <c r="Y3" s="1"/>
      <c r="Z3" s="1"/>
    </row>
    <row r="4" spans="1:26" x14ac:dyDescent="0.25">
      <c r="A4" t="s">
        <v>9</v>
      </c>
      <c r="B4" t="s">
        <v>6</v>
      </c>
      <c r="C4" t="s">
        <v>29</v>
      </c>
      <c r="D4" t="s">
        <v>33</v>
      </c>
      <c r="E4" t="s">
        <v>27</v>
      </c>
      <c r="F4" s="5">
        <v>46167</v>
      </c>
      <c r="G4" s="1">
        <v>31.9</v>
      </c>
      <c r="H4" s="12">
        <v>65</v>
      </c>
      <c r="I4" s="1">
        <f>G4*H4</f>
        <v>2073.5</v>
      </c>
      <c r="J4" s="12"/>
      <c r="K4" s="1">
        <v>5.95</v>
      </c>
      <c r="L4" s="1">
        <f>I4*0.0035</f>
        <v>7.25725</v>
      </c>
      <c r="M4" s="4">
        <f>Table1[[#This Row],[Montant achat]]+Table1[[#This Row],[Frais transaction achat]]+Table1[[#This Row],[TOB achat]]</f>
        <v>2086.7072499999999</v>
      </c>
      <c r="N4" s="3">
        <v>0</v>
      </c>
      <c r="P4" s="1">
        <v>35</v>
      </c>
      <c r="Q4" s="12">
        <v>65</v>
      </c>
      <c r="R4" s="1">
        <f>P4*Q4</f>
        <v>2275</v>
      </c>
      <c r="S4" s="1">
        <f>R4-I4</f>
        <v>201.5</v>
      </c>
      <c r="T4" s="1">
        <v>5.95</v>
      </c>
      <c r="U4" s="1">
        <f t="shared" si="3"/>
        <v>7.9625000000000004</v>
      </c>
      <c r="V4" s="1">
        <f t="shared" si="4"/>
        <v>20.150000000000002</v>
      </c>
      <c r="W4" s="1">
        <f t="shared" si="5"/>
        <v>154.23025000000001</v>
      </c>
      <c r="X4" s="1" t="s">
        <v>42</v>
      </c>
      <c r="Y4" s="1" t="s">
        <v>40</v>
      </c>
      <c r="Z4" s="1" t="s">
        <v>43</v>
      </c>
    </row>
    <row r="5" spans="1:26" s="2" customFormat="1" x14ac:dyDescent="0.25">
      <c r="A5" s="6" t="s">
        <v>9</v>
      </c>
      <c r="B5" s="6" t="s">
        <v>6</v>
      </c>
      <c r="C5" s="6" t="s">
        <v>24</v>
      </c>
      <c r="D5" t="s">
        <v>33</v>
      </c>
      <c r="E5" s="6" t="s">
        <v>25</v>
      </c>
      <c r="F5" s="9">
        <v>46174</v>
      </c>
      <c r="G5" s="7">
        <v>24.15</v>
      </c>
      <c r="H5" s="13">
        <v>60</v>
      </c>
      <c r="I5" s="7">
        <f>G5*H5</f>
        <v>1449</v>
      </c>
      <c r="J5" s="13"/>
      <c r="K5" s="7">
        <v>5.95</v>
      </c>
      <c r="L5" s="7">
        <f>I5*0.0035</f>
        <v>5.0715000000000003</v>
      </c>
      <c r="M5" s="8">
        <f>Table1[[#This Row],[Montant achat]]+Table1[[#This Row],[Frais transaction achat]]+Table1[[#This Row],[TOB achat]]</f>
        <v>1460.0215000000001</v>
      </c>
      <c r="N5" s="7">
        <v>0</v>
      </c>
      <c r="O5" s="6"/>
      <c r="P5" s="7">
        <v>25</v>
      </c>
      <c r="Q5" s="13">
        <v>65</v>
      </c>
      <c r="R5" s="7">
        <f>P5*Q5</f>
        <v>1625</v>
      </c>
      <c r="S5" s="7">
        <f>R5-I5</f>
        <v>176</v>
      </c>
      <c r="T5" s="7">
        <v>5.95</v>
      </c>
      <c r="U5" s="7">
        <f>R5*0.0035</f>
        <v>5.6875</v>
      </c>
      <c r="V5" s="7">
        <f>S5*0.1</f>
        <v>17.600000000000001</v>
      </c>
      <c r="W5" s="7">
        <f>S5-K5-L5-N5-T5-U5-V5</f>
        <v>135.74100000000001</v>
      </c>
      <c r="X5" s="7" t="s">
        <v>44</v>
      </c>
      <c r="Y5" s="7" t="s">
        <v>40</v>
      </c>
      <c r="Z5" s="7" t="s">
        <v>43</v>
      </c>
    </row>
    <row r="6" spans="1:26" x14ac:dyDescent="0.25">
      <c r="A6" t="s">
        <v>30</v>
      </c>
      <c r="B6" t="s">
        <v>6</v>
      </c>
      <c r="C6" t="s">
        <v>31</v>
      </c>
      <c r="D6" t="s">
        <v>34</v>
      </c>
      <c r="E6" t="s">
        <v>32</v>
      </c>
      <c r="F6" s="5">
        <v>46181</v>
      </c>
      <c r="G6" s="10">
        <v>416.84</v>
      </c>
      <c r="H6" s="12">
        <v>2.63887056</v>
      </c>
      <c r="I6" s="10">
        <f>G6*H6</f>
        <v>1099.9868042303999</v>
      </c>
      <c r="J6" s="14">
        <v>1.1526000000000001</v>
      </c>
      <c r="K6" s="10">
        <v>0</v>
      </c>
      <c r="L6" s="10">
        <f>I6*0.0012</f>
        <v>1.3199841650764799</v>
      </c>
      <c r="M6" s="11">
        <f>Table1[[#This Row],[Montant achat]]+Table1[[#This Row],[Frais transaction achat]]+Table1[[#This Row],[TOB achat]]</f>
        <v>1101.3067883954764</v>
      </c>
      <c r="N6" s="10">
        <v>0</v>
      </c>
      <c r="P6" s="10">
        <v>420</v>
      </c>
      <c r="Q6" s="12">
        <v>2.63887056</v>
      </c>
      <c r="R6" s="10">
        <f>P6*Q6</f>
        <v>1108.3256352000001</v>
      </c>
      <c r="S6" s="10">
        <f>R6-I6</f>
        <v>8.338830969600167</v>
      </c>
      <c r="T6" s="10">
        <v>0</v>
      </c>
      <c r="U6" s="10">
        <f>R6*0.0035</f>
        <v>3.8791397232000002</v>
      </c>
      <c r="V6" s="10">
        <f>S6*0.1</f>
        <v>0.83388309696001672</v>
      </c>
      <c r="W6" s="10">
        <f>S6-K6-L6-N6-T6-U6-V6</f>
        <v>2.3058239843636699</v>
      </c>
      <c r="X6" s="1" t="s">
        <v>37</v>
      </c>
      <c r="Y6" s="1" t="s">
        <v>40</v>
      </c>
      <c r="Z6" s="1" t="s">
        <v>41</v>
      </c>
    </row>
  </sheetData>
  <pageMargins left="0.7" right="0.7" top="0.75" bottom="0.75" header="0.3" footer="0.3"/>
  <pageSetup paperSize="9" orientation="portrait" horizontalDpi="0" verticalDpi="0" copies="3"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dc:creator>
  <cp:lastModifiedBy>Thomas Thiry</cp:lastModifiedBy>
  <dcterms:created xsi:type="dcterms:W3CDTF">2015-06-05T18:17:20Z</dcterms:created>
  <dcterms:modified xsi:type="dcterms:W3CDTF">2026-06-08T19:52:57Z</dcterms:modified>
</cp:coreProperties>
</file>